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.sharepoint.com/sites/Web-sovellusprojekti/Shared Documents/General/"/>
    </mc:Choice>
  </mc:AlternateContent>
  <xr:revisionPtr revIDLastSave="0" documentId="8_{03B39D70-A1EF-4712-8DE8-439C0F4FEEE0}" xr6:coauthVersionLast="47" xr6:coauthVersionMax="47" xr10:uidLastSave="{00000000-0000-0000-0000-000000000000}"/>
  <bookViews>
    <workbookView xWindow="-120" yWindow="-120" windowWidth="29040" windowHeight="17520" firstSheet="3" activeTab="3" xr2:uid="{B7036960-D674-4B76-B564-D076AACD5E6B}"/>
  </bookViews>
  <sheets>
    <sheet name="Pilar" sheetId="1" r:id="rId1"/>
    <sheet name="Petteri" sheetId="2" r:id="rId2"/>
    <sheet name="Yvonne" sheetId="3" r:id="rId3"/>
    <sheet name="Markku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C31" i="3"/>
  <c r="C32" i="4"/>
  <c r="C29" i="1"/>
</calcChain>
</file>

<file path=xl/sharedStrings.xml><?xml version="1.0" encoding="utf-8"?>
<sst xmlns="http://schemas.openxmlformats.org/spreadsheetml/2006/main" count="199" uniqueCount="145">
  <si>
    <t>Ryhmä:</t>
  </si>
  <si>
    <t>Pvm</t>
  </si>
  <si>
    <t>Tehtävä</t>
  </si>
  <si>
    <t>Tunnit</t>
  </si>
  <si>
    <t>29/10/2025</t>
  </si>
  <si>
    <t>Projektipalaveri</t>
  </si>
  <si>
    <t>30/10/2025</t>
  </si>
  <si>
    <t>Backend alustus</t>
  </si>
  <si>
    <t>Palaveri ohjaajan kanssa + valmistus</t>
  </si>
  <si>
    <t>Palaveri, tietokanta ja p. rakenteen alustus, dokumentaation päivittäminen</t>
  </si>
  <si>
    <t>Backend koodaminen</t>
  </si>
  <si>
    <t>Docker + CRUD (backend, postman)</t>
  </si>
  <si>
    <t>13/11/2025</t>
  </si>
  <si>
    <t>Tiimi palaveri, yhdistäminen ja debugging</t>
  </si>
  <si>
    <t>17/11/2025</t>
  </si>
  <si>
    <t>Debugging ja tilin poisto, dokumentaatio</t>
  </si>
  <si>
    <t>19/11/2025</t>
  </si>
  <si>
    <t>Tiimipalaveri, koodien yhd + debugging</t>
  </si>
  <si>
    <t>21/11/2025</t>
  </si>
  <si>
    <t>Tilin poisto turvallisesti</t>
  </si>
  <si>
    <t>22/11/2025</t>
  </si>
  <si>
    <t>Fav List luominen</t>
  </si>
  <si>
    <t>23/11/2025</t>
  </si>
  <si>
    <t>Add/Remove movie from FavList + CustomList</t>
  </si>
  <si>
    <t>24/11/2025</t>
  </si>
  <si>
    <t>26/11/2025</t>
  </si>
  <si>
    <t>28/11/2025</t>
  </si>
  <si>
    <t>Share Favourites, Create Custom List, Add movie to custom List</t>
  </si>
  <si>
    <t>Testien alustus</t>
  </si>
  <si>
    <t>Testit debugging</t>
  </si>
  <si>
    <t>15/12/2025</t>
  </si>
  <si>
    <t>Esityksen materiaalien alustus ja dokumentaation päivittäminen</t>
  </si>
  <si>
    <t>16/12/2025</t>
  </si>
  <si>
    <t>Dokumentaatio, vertais- ja itsearviointi, Esitys, Software testaaminen</t>
  </si>
  <si>
    <t>17/12/2025</t>
  </si>
  <si>
    <t>18/12/2025</t>
  </si>
  <si>
    <t>Estiyksen valmistautuminen, Esitys</t>
  </si>
  <si>
    <t xml:space="preserve">TOTAL: </t>
  </si>
  <si>
    <t>Projektipalveri</t>
  </si>
  <si>
    <t>Swagger dokumentaation alustus</t>
  </si>
  <si>
    <t>Wireframe suunnittelu ja luonti</t>
  </si>
  <si>
    <t>Sprint &amp; Ohjaaja palveri</t>
  </si>
  <si>
    <t>Projektirakenteen uudellen organisoiminen</t>
  </si>
  <si>
    <t>18/11/2025</t>
  </si>
  <si>
    <t>Sign In, Log In, JWT Authentication</t>
  </si>
  <si>
    <t>Ohjeistaminen authentication routes</t>
  </si>
  <si>
    <t>Assettejen luominen</t>
  </si>
  <si>
    <t>Spring Palveri + Debug</t>
  </si>
  <si>
    <t>20/11/2025</t>
  </si>
  <si>
    <t>Visualisen rungon luominen</t>
  </si>
  <si>
    <t>Css Login ja Register</t>
  </si>
  <si>
    <t>Shop assettejen luonti</t>
  </si>
  <si>
    <t>25/11/2025</t>
  </si>
  <si>
    <t>Shop sivun ja toimintojen luonti</t>
  </si>
  <si>
    <t>27/11/2025</t>
  </si>
  <si>
    <t>Profile sivun luonti</t>
  </si>
  <si>
    <t>29/11/2025</t>
  </si>
  <si>
    <t>Visuaalisia parannuksia sivuille</t>
  </si>
  <si>
    <t>Sprint ja Ohjaajapalveri</t>
  </si>
  <si>
    <t>Swaggerin päivittämistä</t>
  </si>
  <si>
    <t>Dokumentaation päivittämistä</t>
  </si>
  <si>
    <t>Total</t>
  </si>
  <si>
    <t>Ryhmäkokous,  käyttöottonkaavio suunnittelu</t>
  </si>
  <si>
    <t>HTML sivujen raaka versio</t>
  </si>
  <si>
    <t>Ryhmäkokous,  wireframe, projecktin suunnittelu</t>
  </si>
  <si>
    <t>React alustsu, react folder rakenne, In-cinemas page, cinema top3 on front page</t>
  </si>
  <si>
    <t>InCinemas ja elokuvat etusivulle</t>
  </si>
  <si>
    <t>14/11/2025</t>
  </si>
  <si>
    <t>koodit yhteen ja pienia fixauksia</t>
  </si>
  <si>
    <t>reviews and ratings</t>
  </si>
  <si>
    <t>tiimipalaveri ja koodit yhteen</t>
  </si>
  <si>
    <t>responsive layout</t>
  </si>
  <si>
    <t>tiimipalaveri ja palaveri ohjaajan kanssa</t>
  </si>
  <si>
    <t>background image, changing with movie genre</t>
  </si>
  <si>
    <t>tiimipalaveri, koodit yhteen</t>
  </si>
  <si>
    <t>background image, make text of footer and advanced search, dark background - light color text and other way</t>
  </si>
  <si>
    <t>timmipalaveri, ohjaajan kanssa palaveri, koodit yhteen, debuggaminen</t>
  </si>
  <si>
    <t>likes ja dislikes</t>
  </si>
  <si>
    <t>likes ja dislikes jatkuu</t>
  </si>
  <si>
    <t>likes ja dislikes, parannuksia, responsiivisuus</t>
  </si>
  <si>
    <t>credits to likes/dislikes and reviews</t>
  </si>
  <si>
    <t>tiimipalaveri, palaveri ohjaajan kanssa, koodit yhteen, responsiivisuus</t>
  </si>
  <si>
    <t>14/12/2025</t>
  </si>
  <si>
    <t>favorite list to all pages</t>
  </si>
  <si>
    <t>favorites, custom list - delete a movie and delete a list</t>
  </si>
  <si>
    <t>documentation, prepare presentation, small fixes to code</t>
  </si>
  <si>
    <t>presentation preparation , evaluation, code test</t>
  </si>
  <si>
    <t>presentation, presentation preparation</t>
  </si>
  <si>
    <t>TOTAL hours</t>
  </si>
  <si>
    <t>29.10.2025</t>
  </si>
  <si>
    <t>Projektipalaveri - suunnittelua</t>
  </si>
  <si>
    <t>30.10.2025</t>
  </si>
  <si>
    <t>Github organisaatio laitettu alulle</t>
  </si>
  <si>
    <t>11.11.2025</t>
  </si>
  <si>
    <t xml:space="preserve">Backlogin täydennystä ja frontendin koodausta (navbar) </t>
  </si>
  <si>
    <t>(sekä epäonnistunut yritys fontin muuttamiseen sivulle)</t>
  </si>
  <si>
    <t>12.11.2025</t>
  </si>
  <si>
    <t>Koodaamista ja tiedostojen yhdistämistä. (Backlog issue #44)</t>
  </si>
  <si>
    <t>13.11.2025</t>
  </si>
  <si>
    <t>Elokuvien haku etusivulta</t>
  </si>
  <si>
    <t>14.11.2025</t>
  </si>
  <si>
    <t>Koodien yhdistelyä.</t>
  </si>
  <si>
    <t>17.11.2025</t>
  </si>
  <si>
    <t>Yhdistely koodia, koodattu takaisin ominaisuuksia, jotka hävisi prosessissa.</t>
  </si>
  <si>
    <t>18.11.2025</t>
  </si>
  <si>
    <t xml:space="preserve">Ongelmanratkontaa DBeaverissa. Ryhmäsivun (group page) toiminnallisuuden tekoa. </t>
  </si>
  <si>
    <t>19.11.2025</t>
  </si>
  <si>
    <t>Group page toiminnallisuutta. Päivitys navbariin ja uuden ryhmän luoti uudella id:llä.</t>
  </si>
  <si>
    <t>(Sairaana ollut 20.11.-23.11. jolloin ei ole koodattu)</t>
  </si>
  <si>
    <t>24.11.2025</t>
  </si>
  <si>
    <t>Group page toiminnallisuutta, group member/admin, ryhmään liittyminen.</t>
  </si>
  <si>
    <t>25.11.2025</t>
  </si>
  <si>
    <t>26.11.2025</t>
  </si>
  <si>
    <t>Yhdistetty koodia ja debugausta. Ryhmäsivun toiminnallisuuksien lisäämistä</t>
  </si>
  <si>
    <t>27.11.2025</t>
  </si>
  <si>
    <t xml:space="preserve">Ryhmäsivun suosikkilistan jatkamista. </t>
  </si>
  <si>
    <t>28.11.2025</t>
  </si>
  <si>
    <t>Ryhmäsivulle elokuvien lisääminen listaan, popup listaan lisäys. Koodien yhdistämistä ja debugausta</t>
  </si>
  <si>
    <t>1.12.2025</t>
  </si>
  <si>
    <t>Koodeja yhdistetty, laitettu toimivaksi ja lisätty lisää toimintoja groups sivuille.</t>
  </si>
  <si>
    <t>2.12.2025</t>
  </si>
  <si>
    <t>Ryhmäsivun poisto, kuvauksen lisääminen</t>
  </si>
  <si>
    <t>3.12.2025</t>
  </si>
  <si>
    <t>edellisen päivän jatkoa, UI:n tekoa</t>
  </si>
  <si>
    <t>4.12.2025</t>
  </si>
  <si>
    <t xml:space="preserve">UI:n tekoa, vihreilmoituksien lisäilyä. </t>
  </si>
  <si>
    <t>5.12.2025</t>
  </si>
  <si>
    <t>Responsiivisuuden korjailua</t>
  </si>
  <si>
    <t>7.12.2025</t>
  </si>
  <si>
    <t>responsiivisuutta ja groups UI</t>
  </si>
  <si>
    <t>8.12.2025</t>
  </si>
  <si>
    <t>Koodin yhdistelyä, testaamista, ryhmäpalaveri, yhdessä koodamista</t>
  </si>
  <si>
    <t>9.12.2025</t>
  </si>
  <si>
    <t>Koodin puskemista Railway App hostamiseen, credits lisäämistä</t>
  </si>
  <si>
    <t>10.12.2025</t>
  </si>
  <si>
    <t>palkintojen/creditin jatkamista, swagger päivitys, toimivan web-hostauksen siirto main branchiin</t>
  </si>
  <si>
    <t>15.12.2025</t>
  </si>
  <si>
    <t>Elokuvan jako toimimaan. Suora linkki, jonka voi copy/paste selaimeen</t>
  </si>
  <si>
    <t>16.12.2025</t>
  </si>
  <si>
    <t>Dokumentaatiota projektista (user workflow diagram) ja esityksen valmistelua.</t>
  </si>
  <si>
    <t>17.12.2025</t>
  </si>
  <si>
    <t>User workflow diagramin viimeistelyä ja dokumentaatiota</t>
  </si>
  <si>
    <t>18.12.2025</t>
  </si>
  <si>
    <t>Final documentation, speech practise and end seminar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</si>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</sst>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9" borderId="0" xfId="0" applyFill="1"/>
    <xf numFmtId="0" fontId="0" fillId="10" borderId="0" xfId="0" applyFill="1" applyAlignment="1">
      <alignment horizontal="center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9999FF"/>
      <color rgb="FFFF99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29"/>
  <sheetViews>
    <sheetView workbookViewId="0">
      <selection activeCell="G45" sqref="G45"/>
    </sheetView>
  </sheetViews>
  <sheetFormatPr defaultRowHeight="15"/>
  <cols>
    <col min="1" max="1" width="17.140625" style="9" customWidth="1"/>
    <col min="2" max="2" width="67.42578125" customWidth="1"/>
    <col min="3" max="3" width="10.5703125" style="13" customWidth="1"/>
    <col min="4" max="6" width="13.28515625" customWidth="1"/>
  </cols>
  <sheetData>
    <row r="1" spans="1:3">
      <c r="A1" s="9" t="s">
        <v>0</v>
      </c>
      <c r="B1" s="7">
        <v>2</v>
      </c>
      <c r="C1" s="11"/>
    </row>
    <row r="2" spans="1:3">
      <c r="A2" s="9" t="s">
        <v>1</v>
      </c>
      <c r="B2" s="7" t="s">
        <v>2</v>
      </c>
      <c r="C2" s="11" t="s">
        <v>3</v>
      </c>
    </row>
    <row r="3" spans="1:3">
      <c r="A3" s="14" t="s">
        <v>4</v>
      </c>
      <c r="B3" s="6" t="s">
        <v>5</v>
      </c>
      <c r="C3" s="10">
        <v>3</v>
      </c>
    </row>
    <row r="4" spans="1:3">
      <c r="A4" s="14" t="s">
        <v>6</v>
      </c>
      <c r="B4" s="8" t="s">
        <v>7</v>
      </c>
      <c r="C4" s="11">
        <v>5</v>
      </c>
    </row>
    <row r="5" spans="1:3">
      <c r="A5" s="14">
        <v>45727</v>
      </c>
      <c r="B5" s="6" t="s">
        <v>8</v>
      </c>
      <c r="C5" s="11">
        <v>5</v>
      </c>
    </row>
    <row r="6" spans="1:3">
      <c r="A6" s="14">
        <v>45758</v>
      </c>
      <c r="B6" s="5" t="s">
        <v>9</v>
      </c>
      <c r="C6" s="11">
        <v>6</v>
      </c>
    </row>
    <row r="7" spans="1:3">
      <c r="A7" s="14">
        <v>45880</v>
      </c>
      <c r="B7" s="8" t="s">
        <v>10</v>
      </c>
      <c r="C7" s="11">
        <v>5</v>
      </c>
    </row>
    <row r="8" spans="1:3">
      <c r="A8" s="14">
        <v>45941</v>
      </c>
      <c r="B8" s="6" t="s">
        <v>8</v>
      </c>
      <c r="C8" s="11">
        <v>5</v>
      </c>
    </row>
    <row r="9" spans="1:3">
      <c r="A9" s="14">
        <v>45971</v>
      </c>
      <c r="B9" s="8" t="s">
        <v>11</v>
      </c>
      <c r="C9" s="12">
        <v>8</v>
      </c>
    </row>
    <row r="10" spans="1:3">
      <c r="A10" s="9" t="s">
        <v>12</v>
      </c>
      <c r="B10" s="4" t="s">
        <v>13</v>
      </c>
      <c r="C10" s="12">
        <v>8</v>
      </c>
    </row>
    <row r="11" spans="1:3">
      <c r="A11" s="9" t="s">
        <v>14</v>
      </c>
      <c r="B11" s="8" t="s">
        <v>15</v>
      </c>
      <c r="C11" s="11">
        <v>5</v>
      </c>
    </row>
    <row r="12" spans="1:3">
      <c r="A12" s="14" t="s">
        <v>16</v>
      </c>
      <c r="B12" s="4" t="s">
        <v>17</v>
      </c>
      <c r="C12" s="11">
        <v>6</v>
      </c>
    </row>
    <row r="13" spans="1:3">
      <c r="A13" s="14" t="s">
        <v>18</v>
      </c>
      <c r="B13" s="8" t="s">
        <v>19</v>
      </c>
      <c r="C13" s="11">
        <v>5</v>
      </c>
    </row>
    <row r="14" spans="1:3">
      <c r="A14" s="14" t="s">
        <v>20</v>
      </c>
      <c r="B14" s="8" t="s">
        <v>21</v>
      </c>
      <c r="C14" s="12">
        <v>8</v>
      </c>
    </row>
    <row r="15" spans="1:3">
      <c r="A15" s="14" t="s">
        <v>22</v>
      </c>
      <c r="B15" s="8" t="s">
        <v>23</v>
      </c>
      <c r="C15" s="12">
        <v>8</v>
      </c>
    </row>
    <row r="16" spans="1:3">
      <c r="A16" s="14" t="s">
        <v>24</v>
      </c>
      <c r="B16" s="6" t="s">
        <v>8</v>
      </c>
      <c r="C16" s="10">
        <v>3</v>
      </c>
    </row>
    <row r="17" spans="1:3">
      <c r="A17" s="14" t="s">
        <v>25</v>
      </c>
      <c r="B17" s="4" t="s">
        <v>17</v>
      </c>
      <c r="C17" s="11">
        <v>5</v>
      </c>
    </row>
    <row r="18" spans="1:3">
      <c r="A18" s="9" t="s">
        <v>26</v>
      </c>
      <c r="B18" s="8" t="s">
        <v>27</v>
      </c>
      <c r="C18" s="12">
        <v>10</v>
      </c>
    </row>
    <row r="19" spans="1:3">
      <c r="A19" s="14">
        <v>45669</v>
      </c>
      <c r="B19" s="6" t="s">
        <v>8</v>
      </c>
      <c r="C19" s="11">
        <v>5</v>
      </c>
    </row>
    <row r="20" spans="1:3">
      <c r="A20" s="14">
        <v>45728</v>
      </c>
      <c r="B20" s="8" t="s">
        <v>28</v>
      </c>
      <c r="C20" s="12">
        <v>7</v>
      </c>
    </row>
    <row r="21" spans="1:3">
      <c r="A21" s="14">
        <v>45759</v>
      </c>
      <c r="B21" s="8" t="s">
        <v>29</v>
      </c>
      <c r="C21" s="11">
        <v>4</v>
      </c>
    </row>
    <row r="22" spans="1:3">
      <c r="A22" s="14">
        <v>45881</v>
      </c>
      <c r="B22" s="4" t="s">
        <v>17</v>
      </c>
      <c r="C22" s="12">
        <v>7</v>
      </c>
    </row>
    <row r="23" spans="1:3">
      <c r="A23" s="14">
        <v>45942</v>
      </c>
      <c r="B23" s="4" t="s">
        <v>29</v>
      </c>
      <c r="C23" s="12">
        <v>8</v>
      </c>
    </row>
    <row r="24" spans="1:3">
      <c r="A24" s="14">
        <v>45973</v>
      </c>
      <c r="B24" s="8" t="s">
        <v>29</v>
      </c>
      <c r="C24" s="12">
        <v>8</v>
      </c>
    </row>
    <row r="25" spans="1:3">
      <c r="A25" s="9" t="s">
        <v>30</v>
      </c>
      <c r="B25" s="15" t="s">
        <v>31</v>
      </c>
      <c r="C25" s="11">
        <v>5</v>
      </c>
    </row>
    <row r="26" spans="1:3">
      <c r="A26" s="9" t="s">
        <v>32</v>
      </c>
      <c r="B26" s="15" t="s">
        <v>33</v>
      </c>
      <c r="C26" s="11">
        <v>6</v>
      </c>
    </row>
    <row r="27" spans="1:3">
      <c r="A27" s="9" t="s">
        <v>34</v>
      </c>
      <c r="B27" s="15" t="s">
        <v>33</v>
      </c>
      <c r="C27" s="11">
        <v>6</v>
      </c>
    </row>
    <row r="28" spans="1:3">
      <c r="A28" s="9" t="s">
        <v>35</v>
      </c>
      <c r="B28" s="6" t="s">
        <v>36</v>
      </c>
      <c r="C28" s="12">
        <v>8</v>
      </c>
    </row>
    <row r="29" spans="1:3">
      <c r="B29" s="17" t="s">
        <v>37</v>
      </c>
      <c r="C29" s="16">
        <f>SUM(C3:C28)</f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27"/>
  <sheetViews>
    <sheetView workbookViewId="0">
      <selection activeCell="C28" sqref="C28"/>
    </sheetView>
  </sheetViews>
  <sheetFormatPr defaultRowHeight="15"/>
  <cols>
    <col min="1" max="1" width="15.5703125" customWidth="1"/>
    <col min="2" max="2" width="31.42578125" customWidth="1"/>
    <col min="3" max="3" width="11.570312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38</v>
      </c>
      <c r="C3">
        <v>4</v>
      </c>
    </row>
    <row r="4" spans="1:3">
      <c r="A4" s="1">
        <v>45819</v>
      </c>
      <c r="B4" t="s">
        <v>39</v>
      </c>
      <c r="C4">
        <v>2</v>
      </c>
    </row>
    <row r="5" spans="1:3">
      <c r="A5" s="1">
        <v>45911</v>
      </c>
      <c r="B5" t="s">
        <v>40</v>
      </c>
      <c r="C5">
        <v>4</v>
      </c>
    </row>
    <row r="6" spans="1:3">
      <c r="A6" s="1">
        <v>45941</v>
      </c>
      <c r="B6" t="s">
        <v>41</v>
      </c>
      <c r="C6">
        <v>6</v>
      </c>
    </row>
    <row r="7" spans="1:3">
      <c r="A7" t="s">
        <v>14</v>
      </c>
      <c r="B7" t="s">
        <v>41</v>
      </c>
      <c r="C7">
        <v>5</v>
      </c>
    </row>
    <row r="8" spans="1:3">
      <c r="A8" t="s">
        <v>14</v>
      </c>
      <c r="B8" t="s">
        <v>42</v>
      </c>
      <c r="C8">
        <v>14</v>
      </c>
    </row>
    <row r="9" spans="1:3">
      <c r="A9" t="s">
        <v>43</v>
      </c>
      <c r="B9" t="s">
        <v>44</v>
      </c>
      <c r="C9">
        <v>12</v>
      </c>
    </row>
    <row r="10" spans="1:3">
      <c r="A10" t="s">
        <v>43</v>
      </c>
      <c r="B10" t="s">
        <v>45</v>
      </c>
      <c r="C10">
        <v>2</v>
      </c>
    </row>
    <row r="11" spans="1:3">
      <c r="A11" t="s">
        <v>16</v>
      </c>
      <c r="B11" t="s">
        <v>46</v>
      </c>
      <c r="C11">
        <v>8</v>
      </c>
    </row>
    <row r="12" spans="1:3">
      <c r="A12" t="s">
        <v>16</v>
      </c>
      <c r="B12" t="s">
        <v>47</v>
      </c>
      <c r="C12">
        <v>6</v>
      </c>
    </row>
    <row r="13" spans="1:3">
      <c r="A13" t="s">
        <v>48</v>
      </c>
      <c r="B13" t="s">
        <v>49</v>
      </c>
      <c r="C13">
        <v>3</v>
      </c>
    </row>
    <row r="14" spans="1:3">
      <c r="A14" t="s">
        <v>48</v>
      </c>
      <c r="B14" t="s">
        <v>50</v>
      </c>
      <c r="C14">
        <v>5</v>
      </c>
    </row>
    <row r="15" spans="1:3">
      <c r="A15" t="s">
        <v>24</v>
      </c>
      <c r="B15" t="s">
        <v>41</v>
      </c>
      <c r="C15">
        <v>2</v>
      </c>
    </row>
    <row r="16" spans="1:3">
      <c r="A16" t="s">
        <v>24</v>
      </c>
      <c r="B16" t="s">
        <v>51</v>
      </c>
      <c r="C16">
        <v>6</v>
      </c>
    </row>
    <row r="17" spans="1:3">
      <c r="A17" t="s">
        <v>52</v>
      </c>
      <c r="B17" t="s">
        <v>53</v>
      </c>
      <c r="C17">
        <v>8</v>
      </c>
    </row>
    <row r="18" spans="1:3">
      <c r="A18" t="s">
        <v>25</v>
      </c>
      <c r="B18" t="s">
        <v>53</v>
      </c>
      <c r="C18">
        <v>6</v>
      </c>
    </row>
    <row r="19" spans="1:3">
      <c r="A19" t="s">
        <v>54</v>
      </c>
      <c r="B19" t="s">
        <v>55</v>
      </c>
      <c r="C19">
        <v>10</v>
      </c>
    </row>
    <row r="20" spans="1:3">
      <c r="A20" t="s">
        <v>56</v>
      </c>
      <c r="B20" t="s">
        <v>57</v>
      </c>
      <c r="C20">
        <v>5</v>
      </c>
    </row>
    <row r="21" spans="1:3">
      <c r="A21" s="1">
        <v>45669</v>
      </c>
      <c r="B21" t="s">
        <v>58</v>
      </c>
      <c r="C21">
        <v>5</v>
      </c>
    </row>
    <row r="22" spans="1:3">
      <c r="A22" s="1">
        <v>45789</v>
      </c>
      <c r="B22" t="s">
        <v>59</v>
      </c>
      <c r="C22">
        <v>2</v>
      </c>
    </row>
    <row r="23" spans="1:3">
      <c r="A23" s="1">
        <v>45820</v>
      </c>
      <c r="B23" t="s">
        <v>59</v>
      </c>
      <c r="C23">
        <v>1</v>
      </c>
    </row>
    <row r="24" spans="1:3">
      <c r="A24" s="1">
        <v>45881</v>
      </c>
      <c r="B24" t="s">
        <v>41</v>
      </c>
      <c r="C24">
        <v>5</v>
      </c>
    </row>
    <row r="25" spans="1:3">
      <c r="A25" t="s">
        <v>30</v>
      </c>
      <c r="B25" t="s">
        <v>60</v>
      </c>
      <c r="C25">
        <v>2</v>
      </c>
    </row>
    <row r="27" spans="1:3">
      <c r="B27" t="s">
        <v>61</v>
      </c>
      <c r="C27">
        <f>SUM(C3:C25)</f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31"/>
  <sheetViews>
    <sheetView workbookViewId="0">
      <selection activeCell="C32" sqref="C32"/>
    </sheetView>
  </sheetViews>
  <sheetFormatPr defaultRowHeight="15"/>
  <cols>
    <col min="1" max="1" width="15.85546875" customWidth="1"/>
    <col min="2" max="2" width="71" customWidth="1"/>
    <col min="3" max="3" width="11.4257812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3</v>
      </c>
    </row>
    <row r="3" spans="1:3">
      <c r="A3" s="1" t="s">
        <v>4</v>
      </c>
      <c r="B3" t="s">
        <v>62</v>
      </c>
      <c r="C3">
        <v>3</v>
      </c>
    </row>
    <row r="4" spans="1:3">
      <c r="A4" s="2">
        <v>45727</v>
      </c>
      <c r="B4" t="s">
        <v>63</v>
      </c>
      <c r="C4">
        <v>6</v>
      </c>
    </row>
    <row r="5" spans="1:3">
      <c r="A5" s="2">
        <v>45758</v>
      </c>
      <c r="B5" t="s">
        <v>64</v>
      </c>
      <c r="C5">
        <v>3</v>
      </c>
    </row>
    <row r="6" spans="1:3">
      <c r="A6" s="2">
        <v>45788</v>
      </c>
      <c r="B6" t="s">
        <v>63</v>
      </c>
      <c r="C6">
        <v>3</v>
      </c>
    </row>
    <row r="7" spans="1:3">
      <c r="A7" s="2">
        <v>45819</v>
      </c>
      <c r="B7" t="s">
        <v>63</v>
      </c>
      <c r="C7">
        <v>2</v>
      </c>
    </row>
    <row r="8" spans="1:3">
      <c r="A8" s="2">
        <v>45941</v>
      </c>
      <c r="B8" t="s">
        <v>65</v>
      </c>
      <c r="C8">
        <v>9</v>
      </c>
    </row>
    <row r="9" spans="1:3">
      <c r="A9" s="2">
        <v>45941</v>
      </c>
      <c r="B9" t="s">
        <v>65</v>
      </c>
      <c r="C9">
        <v>5</v>
      </c>
    </row>
    <row r="10" spans="1:3">
      <c r="A10" s="2">
        <v>46002</v>
      </c>
      <c r="B10" t="s">
        <v>66</v>
      </c>
      <c r="C10">
        <v>6</v>
      </c>
    </row>
    <row r="11" spans="1:3">
      <c r="A11" t="s">
        <v>67</v>
      </c>
      <c r="B11" t="s">
        <v>68</v>
      </c>
      <c r="C11">
        <v>6</v>
      </c>
    </row>
    <row r="12" spans="1:3">
      <c r="A12" s="1" t="s">
        <v>14</v>
      </c>
      <c r="B12" t="s">
        <v>69</v>
      </c>
      <c r="C12">
        <v>10</v>
      </c>
    </row>
    <row r="13" spans="1:3">
      <c r="A13" t="s">
        <v>43</v>
      </c>
      <c r="B13" t="s">
        <v>69</v>
      </c>
      <c r="C13">
        <v>8</v>
      </c>
    </row>
    <row r="14" spans="1:3">
      <c r="A14" t="s">
        <v>16</v>
      </c>
      <c r="B14" t="s">
        <v>70</v>
      </c>
      <c r="C14">
        <v>3</v>
      </c>
    </row>
    <row r="15" spans="1:3">
      <c r="A15" t="s">
        <v>22</v>
      </c>
      <c r="B15" t="s">
        <v>71</v>
      </c>
      <c r="C15">
        <v>7</v>
      </c>
    </row>
    <row r="16" spans="1:3">
      <c r="A16" t="s">
        <v>24</v>
      </c>
      <c r="B16" t="s">
        <v>72</v>
      </c>
      <c r="C16">
        <v>3</v>
      </c>
    </row>
    <row r="17" spans="1:3">
      <c r="A17" t="s">
        <v>52</v>
      </c>
      <c r="B17" t="s">
        <v>73</v>
      </c>
      <c r="C17">
        <v>8</v>
      </c>
    </row>
    <row r="18" spans="1:3">
      <c r="A18" t="s">
        <v>25</v>
      </c>
      <c r="B18" t="s">
        <v>74</v>
      </c>
      <c r="C18">
        <v>5</v>
      </c>
    </row>
    <row r="19" spans="1:3">
      <c r="A19" t="s">
        <v>26</v>
      </c>
      <c r="B19" t="s">
        <v>75</v>
      </c>
      <c r="C19">
        <v>8</v>
      </c>
    </row>
    <row r="20" spans="1:3">
      <c r="A20" s="2">
        <v>45669</v>
      </c>
      <c r="B20" t="s">
        <v>76</v>
      </c>
      <c r="C20">
        <v>6</v>
      </c>
    </row>
    <row r="21" spans="1:3">
      <c r="A21" s="2">
        <v>45700</v>
      </c>
      <c r="B21" t="s">
        <v>77</v>
      </c>
      <c r="C21">
        <v>6</v>
      </c>
    </row>
    <row r="22" spans="1:3">
      <c r="A22" s="2">
        <v>45789</v>
      </c>
      <c r="B22" t="s">
        <v>78</v>
      </c>
      <c r="C22">
        <v>8</v>
      </c>
    </row>
    <row r="23" spans="1:3">
      <c r="A23" s="2">
        <v>45820</v>
      </c>
      <c r="B23" t="s">
        <v>79</v>
      </c>
      <c r="C23">
        <v>9</v>
      </c>
    </row>
    <row r="24" spans="1:3">
      <c r="A24" s="2">
        <v>38545</v>
      </c>
      <c r="B24" t="s">
        <v>80</v>
      </c>
      <c r="C24">
        <v>10</v>
      </c>
    </row>
    <row r="25" spans="1:3">
      <c r="A25" s="2">
        <v>45881</v>
      </c>
      <c r="B25" t="s">
        <v>81</v>
      </c>
      <c r="C25">
        <v>6</v>
      </c>
    </row>
    <row r="26" spans="1:3">
      <c r="A26" t="s">
        <v>82</v>
      </c>
      <c r="B26" t="s">
        <v>83</v>
      </c>
      <c r="C26">
        <v>4</v>
      </c>
    </row>
    <row r="27" spans="1:3">
      <c r="A27" t="s">
        <v>30</v>
      </c>
      <c r="B27" t="s">
        <v>84</v>
      </c>
      <c r="C27">
        <v>6</v>
      </c>
    </row>
    <row r="28" spans="1:3">
      <c r="A28" t="s">
        <v>32</v>
      </c>
      <c r="B28" t="s">
        <v>85</v>
      </c>
      <c r="C28">
        <v>6</v>
      </c>
    </row>
    <row r="29" spans="1:3">
      <c r="A29" t="s">
        <v>34</v>
      </c>
      <c r="B29" t="s">
        <v>86</v>
      </c>
      <c r="C29">
        <v>4</v>
      </c>
    </row>
    <row r="30" spans="1:3">
      <c r="A30" t="s">
        <v>35</v>
      </c>
      <c r="B30" t="s">
        <v>87</v>
      </c>
      <c r="C30">
        <v>8</v>
      </c>
    </row>
    <row r="31" spans="1:3">
      <c r="B31" t="s">
        <v>88</v>
      </c>
      <c r="C31">
        <f>SUM(C3:C30)</f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32"/>
  <sheetViews>
    <sheetView tabSelected="1" workbookViewId="0">
      <selection activeCell="O31" sqref="O31"/>
    </sheetView>
  </sheetViews>
  <sheetFormatPr defaultRowHeight="15"/>
  <cols>
    <col min="1" max="1" width="16.85546875" customWidth="1"/>
    <col min="2" max="2" width="65.7109375" customWidth="1"/>
    <col min="3" max="3" width="6.710937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3</v>
      </c>
    </row>
    <row r="3" spans="1:3">
      <c r="A3" s="1" t="s">
        <v>89</v>
      </c>
      <c r="B3" t="s">
        <v>90</v>
      </c>
      <c r="C3">
        <v>3</v>
      </c>
    </row>
    <row r="4" spans="1:3">
      <c r="A4" s="1" t="s">
        <v>91</v>
      </c>
      <c r="B4" t="s">
        <v>92</v>
      </c>
      <c r="C4">
        <v>2</v>
      </c>
    </row>
    <row r="5" spans="1:3">
      <c r="A5" t="s">
        <v>93</v>
      </c>
      <c r="B5" t="s">
        <v>94</v>
      </c>
    </row>
    <row r="6" spans="1:3">
      <c r="B6" t="s">
        <v>95</v>
      </c>
      <c r="C6">
        <v>5</v>
      </c>
    </row>
    <row r="7" spans="1:3">
      <c r="A7" t="s">
        <v>96</v>
      </c>
      <c r="B7" t="s">
        <v>97</v>
      </c>
      <c r="C7">
        <v>10</v>
      </c>
    </row>
    <row r="8" spans="1:3">
      <c r="A8" t="s">
        <v>98</v>
      </c>
      <c r="B8" t="s">
        <v>99</v>
      </c>
      <c r="C8">
        <v>7</v>
      </c>
    </row>
    <row r="9" spans="1:3">
      <c r="A9" t="s">
        <v>100</v>
      </c>
      <c r="B9" t="s">
        <v>101</v>
      </c>
      <c r="C9">
        <v>5</v>
      </c>
    </row>
    <row r="10" spans="1:3">
      <c r="A10" t="s">
        <v>102</v>
      </c>
      <c r="B10" t="s">
        <v>103</v>
      </c>
      <c r="C10">
        <v>7</v>
      </c>
    </row>
    <row r="11" spans="1:3" ht="16.5" customHeight="1">
      <c r="A11" t="s">
        <v>104</v>
      </c>
      <c r="B11" t="s">
        <v>105</v>
      </c>
      <c r="C11">
        <v>7</v>
      </c>
    </row>
    <row r="12" spans="1:3">
      <c r="A12" t="s">
        <v>106</v>
      </c>
      <c r="B12" t="s">
        <v>107</v>
      </c>
      <c r="C12">
        <v>5</v>
      </c>
    </row>
    <row r="13" spans="1:3">
      <c r="B13" t="s">
        <v>108</v>
      </c>
    </row>
    <row r="14" spans="1:3">
      <c r="A14" t="s">
        <v>109</v>
      </c>
      <c r="B14" t="s">
        <v>110</v>
      </c>
      <c r="C14">
        <v>9</v>
      </c>
    </row>
    <row r="15" spans="1:3">
      <c r="A15" t="s">
        <v>111</v>
      </c>
      <c r="B15" s="3" t="s">
        <v>110</v>
      </c>
      <c r="C15">
        <v>8</v>
      </c>
    </row>
    <row r="16" spans="1:3">
      <c r="A16" t="s">
        <v>112</v>
      </c>
      <c r="B16" t="s">
        <v>113</v>
      </c>
      <c r="C16">
        <v>10</v>
      </c>
    </row>
    <row r="17" spans="1:3">
      <c r="A17" t="s">
        <v>114</v>
      </c>
      <c r="B17" t="s">
        <v>115</v>
      </c>
      <c r="C17">
        <v>10</v>
      </c>
    </row>
    <row r="18" spans="1:3">
      <c r="A18" t="s">
        <v>116</v>
      </c>
      <c r="B18" t="s">
        <v>117</v>
      </c>
      <c r="C18">
        <v>7</v>
      </c>
    </row>
    <row r="19" spans="1:3">
      <c r="A19" t="s">
        <v>118</v>
      </c>
      <c r="B19" t="s">
        <v>119</v>
      </c>
      <c r="C19">
        <v>7</v>
      </c>
    </row>
    <row r="20" spans="1:3">
      <c r="A20" t="s">
        <v>120</v>
      </c>
      <c r="B20" t="s">
        <v>121</v>
      </c>
      <c r="C20">
        <v>8</v>
      </c>
    </row>
    <row r="21" spans="1:3">
      <c r="A21" t="s">
        <v>122</v>
      </c>
      <c r="B21" t="s">
        <v>123</v>
      </c>
      <c r="C21">
        <v>9</v>
      </c>
    </row>
    <row r="22" spans="1:3">
      <c r="A22" t="s">
        <v>124</v>
      </c>
      <c r="B22" t="s">
        <v>125</v>
      </c>
      <c r="C22">
        <v>7</v>
      </c>
    </row>
    <row r="23" spans="1:3">
      <c r="A23" t="s">
        <v>126</v>
      </c>
      <c r="B23" t="s">
        <v>127</v>
      </c>
      <c r="C23">
        <v>5</v>
      </c>
    </row>
    <row r="24" spans="1:3">
      <c r="A24" t="s">
        <v>128</v>
      </c>
      <c r="B24" t="s">
        <v>129</v>
      </c>
      <c r="C24">
        <v>3</v>
      </c>
    </row>
    <row r="25" spans="1:3">
      <c r="A25" t="s">
        <v>130</v>
      </c>
      <c r="B25" t="s">
        <v>131</v>
      </c>
      <c r="C25">
        <v>6</v>
      </c>
    </row>
    <row r="26" spans="1:3">
      <c r="A26" t="s">
        <v>132</v>
      </c>
      <c r="B26" t="s">
        <v>133</v>
      </c>
      <c r="C26">
        <v>10</v>
      </c>
    </row>
    <row r="27" spans="1:3">
      <c r="A27" t="s">
        <v>134</v>
      </c>
      <c r="B27" t="s">
        <v>135</v>
      </c>
      <c r="C27">
        <v>10</v>
      </c>
    </row>
    <row r="28" spans="1:3">
      <c r="A28" t="s">
        <v>136</v>
      </c>
      <c r="B28" t="s">
        <v>137</v>
      </c>
      <c r="C28">
        <v>5</v>
      </c>
    </row>
    <row r="29" spans="1:3">
      <c r="A29" t="s">
        <v>138</v>
      </c>
      <c r="B29" t="s">
        <v>139</v>
      </c>
      <c r="C29">
        <v>7</v>
      </c>
    </row>
    <row r="30" spans="1:3">
      <c r="A30" t="s">
        <v>140</v>
      </c>
      <c r="B30" s="3" t="s">
        <v>141</v>
      </c>
      <c r="C30">
        <v>7</v>
      </c>
    </row>
    <row r="31" spans="1:3">
      <c r="A31" t="s">
        <v>142</v>
      </c>
      <c r="B31" t="s">
        <v>143</v>
      </c>
      <c r="C31">
        <v>8</v>
      </c>
    </row>
    <row r="32" spans="1:3">
      <c r="B32" t="s">
        <v>144</v>
      </c>
      <c r="C32">
        <f>SUM(C3:C31)</f>
        <v>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60f0d4-2c57-48ae-b19f-bb5bb0d5dbe5">
      <Terms xmlns="http://schemas.microsoft.com/office/infopath/2007/PartnerControls"/>
    </lcf76f155ced4ddcb4097134ff3c332f>
    <TaxCatchAll xmlns="a8f89cea-eede-49b7-8489-e8f40defaa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4C10582EE60241AA6B4F30C98952A4" ma:contentTypeVersion="10" ma:contentTypeDescription="Create a new document." ma:contentTypeScope="" ma:versionID="66cd541d8cafbac46f9729d2dbcb12a0">
  <xsd:schema xmlns:xsd="http://www.w3.org/2001/XMLSchema" xmlns:xs="http://www.w3.org/2001/XMLSchema" xmlns:p="http://schemas.microsoft.com/office/2006/metadata/properties" xmlns:ns2="5560f0d4-2c57-48ae-b19f-bb5bb0d5dbe5" xmlns:ns3="a8f89cea-eede-49b7-8489-e8f40defaac3" targetNamespace="http://schemas.microsoft.com/office/2006/metadata/properties" ma:root="true" ma:fieldsID="b34306b80937b504934de114572e343b" ns2:_="" ns3:_="">
    <xsd:import namespace="5560f0d4-2c57-48ae-b19f-bb5bb0d5dbe5"/>
    <xsd:import namespace="a8f89cea-eede-49b7-8489-e8f40defa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60f0d4-2c57-48ae-b19f-bb5bb0d5d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89cea-eede-49b7-8489-e8f40defaa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281774-bbc0-48d9-bcec-2b454e77709c}" ma:internalName="TaxCatchAll" ma:showField="CatchAllData" ma:web="a8f89cea-eede-49b7-8489-e8f40defa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D5949F-3647-4C8D-8B7D-804B1EB0F76A}"/>
</file>

<file path=customXml/itemProps2.xml><?xml version="1.0" encoding="utf-8"?>
<ds:datastoreItem xmlns:ds="http://schemas.openxmlformats.org/officeDocument/2006/customXml" ds:itemID="{96E7F68D-CE5C-4707-ABF1-D34AFE81B2C5}"/>
</file>

<file path=customXml/itemProps3.xml><?xml version="1.0" encoding="utf-8"?>
<ds:datastoreItem xmlns:ds="http://schemas.openxmlformats.org/officeDocument/2006/customXml" ds:itemID="{59F60DF2-3566-4F7D-9D5B-0A4A5C00A6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2025-12-17T21:47:30Z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0x010100E44C10582EE60241AA6B4F30C98952A4</vt:lpwstr>
  </property>
  <property fmtid="{D5CDD505-2E9C-101B-9397-08002B2CF9AE}" pid="3" name="MediaServiceImageTags">
    <vt:lpwstr/>
  </property>
</Properties>
</file>